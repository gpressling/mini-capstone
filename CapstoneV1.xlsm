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orypressling/Actualize/"/>
    </mc:Choice>
  </mc:AlternateContent>
  <xr:revisionPtr revIDLastSave="0" documentId="13_ncr:1_{58617EF1-3296-7646-B5E8-B117503257B4}" xr6:coauthVersionLast="32" xr6:coauthVersionMax="32" xr10:uidLastSave="{00000000-0000-0000-0000-000000000000}"/>
  <bookViews>
    <workbookView xWindow="9420" yWindow="2320" windowWidth="27640" windowHeight="16940" activeTab="2" xr2:uid="{F78AF14E-DE8A-7F46-A724-A8F5D204F523}"/>
  </bookViews>
  <sheets>
    <sheet name="Input" sheetId="1" r:id="rId1"/>
    <sheet name="Lookup" sheetId="3" r:id="rId2"/>
    <sheet name="Output" sheetId="2" r:id="rId3"/>
    <sheet name="temp" sheetId="4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4" l="1"/>
  <c r="A14" i="4"/>
  <c r="A13" i="4"/>
  <c r="I12" i="4"/>
  <c r="H12" i="4"/>
  <c r="A12" i="4"/>
  <c r="I11" i="4"/>
  <c r="H11" i="4"/>
  <c r="A11" i="4"/>
  <c r="K10" i="4"/>
  <c r="I10" i="4"/>
  <c r="H10" i="4"/>
  <c r="K9" i="4"/>
  <c r="I15" i="4" s="1"/>
  <c r="I9" i="4"/>
  <c r="H9" i="4"/>
  <c r="K8" i="4"/>
  <c r="H14" i="4" s="1"/>
  <c r="I8" i="4"/>
  <c r="H8" i="4"/>
  <c r="K7" i="4"/>
  <c r="I13" i="4" s="1"/>
  <c r="I7" i="4"/>
  <c r="H7" i="4"/>
  <c r="I6" i="4"/>
  <c r="H6" i="4"/>
  <c r="I5" i="4"/>
  <c r="H5" i="4"/>
  <c r="I4" i="4"/>
  <c r="H4" i="4"/>
  <c r="I3" i="4"/>
  <c r="H3" i="4"/>
  <c r="H13" i="4" l="1"/>
  <c r="I14" i="4"/>
  <c r="H15" i="4"/>
</calcChain>
</file>

<file path=xl/sharedStrings.xml><?xml version="1.0" encoding="utf-8"?>
<sst xmlns="http://schemas.openxmlformats.org/spreadsheetml/2006/main" count="355" uniqueCount="136">
  <si>
    <t>Data Type</t>
  </si>
  <si>
    <t>SubData Type</t>
  </si>
  <si>
    <t>DealFunding</t>
  </si>
  <si>
    <t>Security ID</t>
  </si>
  <si>
    <t>Security</t>
  </si>
  <si>
    <t>Trade Date</t>
  </si>
  <si>
    <t>Settle Date</t>
  </si>
  <si>
    <t>Actual Settle Date</t>
  </si>
  <si>
    <t>Quantity</t>
  </si>
  <si>
    <t>Price</t>
  </si>
  <si>
    <t>Principal &amp; PIK</t>
  </si>
  <si>
    <t>Interest Payment</t>
  </si>
  <si>
    <t>Fee Payment</t>
  </si>
  <si>
    <t>Cashflow</t>
  </si>
  <si>
    <t>Interest PIK</t>
  </si>
  <si>
    <t>P &amp; L</t>
  </si>
  <si>
    <t>Blotter ID</t>
  </si>
  <si>
    <t>Holding ID</t>
  </si>
  <si>
    <t>Counterparty BlotterID</t>
  </si>
  <si>
    <t>Transaction Counterparty</t>
  </si>
  <si>
    <t>Counterparty Holding ID</t>
  </si>
  <si>
    <t>Transaction Group ID</t>
  </si>
  <si>
    <t>Transaction Group Level</t>
  </si>
  <si>
    <t>Settled</t>
  </si>
  <si>
    <t>REDEEM</t>
  </si>
  <si>
    <t>ALPH6LLC</t>
  </si>
  <si>
    <t>ORPHEUS INV, LTD. 9% (ORPH OFF) AMEND - 3/30/12</t>
  </si>
  <si>
    <t>NA</t>
  </si>
  <si>
    <t>ORPHSLTD</t>
  </si>
  <si>
    <t>ORPHEUS INVESTORS, LTD 9% $76,263,999 12/31/20</t>
  </si>
  <si>
    <t>ASHFD_C5</t>
  </si>
  <si>
    <t>ORPHEUS INV, LTD 9% (ORPH OFF) AMEND-12/31/12</t>
  </si>
  <si>
    <t>REDFIELD CAPITAL, LTD. 9% AMEND - 1/18/13</t>
  </si>
  <si>
    <t>REDCAPTL</t>
  </si>
  <si>
    <t>AUBASHL8</t>
  </si>
  <si>
    <t>ORPHEUS INV, LTD. 9% (ORPH OFF) AMEND - 3/15/12</t>
  </si>
  <si>
    <t>AVIASHC9</t>
  </si>
  <si>
    <t>APC</t>
  </si>
  <si>
    <t>Reference (JE Description)</t>
  </si>
  <si>
    <t>Date</t>
  </si>
  <si>
    <t>Entity</t>
  </si>
  <si>
    <t>Account</t>
  </si>
  <si>
    <t>Class</t>
  </si>
  <si>
    <t>Counterparty</t>
  </si>
  <si>
    <t>Debit Amount</t>
  </si>
  <si>
    <t>Credit Amount</t>
  </si>
  <si>
    <t>Comment (Line Item)</t>
  </si>
  <si>
    <t>+/-</t>
  </si>
  <si>
    <t>March 2018 Bank Fees</t>
  </si>
  <si>
    <t>Bank Fees</t>
  </si>
  <si>
    <t>CLRDINV5</t>
  </si>
  <si>
    <t>CLRDMH_5</t>
  </si>
  <si>
    <t>CMBRCSLT</t>
  </si>
  <si>
    <t>CMBRLDHD</t>
  </si>
  <si>
    <t>Distribution to Cumberland Capital Holdings</t>
  </si>
  <si>
    <t>Consulting Income</t>
  </si>
  <si>
    <t>Sell</t>
  </si>
  <si>
    <t>PELIAHC2</t>
  </si>
  <si>
    <t>DIVINSHIRE INSURANCE AGENCY, LLC 12% $1MM 4/25/18</t>
  </si>
  <si>
    <t>ALBATAH6</t>
  </si>
  <si>
    <t>PELIAHC2 sell to ALBATAH6 on SecID 3396-DIVINSHIRE INSURANCE AGENCY, LLC 12% $1MM 4/25/18</t>
  </si>
  <si>
    <t>DV</t>
  </si>
  <si>
    <t>EGLCAHC3</t>
  </si>
  <si>
    <t>EAGLE CREEK AH, LLC MEMBERSHIP INTERESTS</t>
  </si>
  <si>
    <t>EGLC13TR</t>
  </si>
  <si>
    <t>EGLCAHC3 pays distribution to EGLC13TR</t>
  </si>
  <si>
    <t>ISSUELIABILITY</t>
  </si>
  <si>
    <t>EAGLE CREEK FA TRUST S3 DEF INT 9/15/18</t>
  </si>
  <si>
    <t>NOTEHLDR</t>
  </si>
  <si>
    <t>EGLC13TR issue NOTE to NOTEHLDR</t>
  </si>
  <si>
    <t>Pymt</t>
  </si>
  <si>
    <t>EAGLE CREEK FA TRUST S3 DEFERRED INT 3/15/18</t>
  </si>
  <si>
    <t>EGLC13TR pay sched Int to NOTEHLDR on SecID 3222-EAGLE CREEK FA TRUST S3 DEFERRED INT 3/15/18</t>
  </si>
  <si>
    <t>Principal Payment via factor</t>
  </si>
  <si>
    <t>EGLC13TR pay sched Prin to NOTEHLDR on SecID 3222-EAGLE CREEK FA TRUST S3 DEFERRED INT 3/15/18</t>
  </si>
  <si>
    <t>TRA</t>
  </si>
  <si>
    <t>Transfer</t>
  </si>
  <si>
    <t>Transfer between accounts</t>
  </si>
  <si>
    <t>Pre Paid Interest</t>
  </si>
  <si>
    <t>DRVTAHC4</t>
  </si>
  <si>
    <t>BARTON COLL. FNDG, LLC 8% $12.5MM 6/24/24 CLASS B</t>
  </si>
  <si>
    <t>EXT-PRIM</t>
  </si>
  <si>
    <t>EXT-PRIM prepaid INT to DRVTAHC4 on SecID 204-BARTON COLL. FNDG, LLC 8% $12.5MM 6/24/24 CLASS B</t>
  </si>
  <si>
    <t>SPL</t>
  </si>
  <si>
    <t>Security Related P&amp;L</t>
  </si>
  <si>
    <t>DELPLACO</t>
  </si>
  <si>
    <t>DEL PLATA RECEIVABLE</t>
  </si>
  <si>
    <t>Buy</t>
  </si>
  <si>
    <t>Buy of Issuance</t>
  </si>
  <si>
    <t>ALRTNFDG</t>
  </si>
  <si>
    <t>BCBG MAX AZRIA GRP, LLC 13%-15% $3.9MM 11/5/19-A1</t>
  </si>
  <si>
    <t>EXTERNAL</t>
  </si>
  <si>
    <t>INV</t>
  </si>
  <si>
    <t>General Operating Expenses</t>
  </si>
  <si>
    <t>ABSCAPCO</t>
  </si>
  <si>
    <t>ABS CAP CO OPERATING ACCT TRUE-UP</t>
  </si>
  <si>
    <t>VENDOR</t>
  </si>
  <si>
    <t>Additional Paid in Capital</t>
  </si>
  <si>
    <t>ABS CAPITAL COMPANY, LLC MEMBERSHIP INTERESTS</t>
  </si>
  <si>
    <t>ABS_HLDS</t>
  </si>
  <si>
    <t>Sub Data Type</t>
  </si>
  <si>
    <t>Description</t>
  </si>
  <si>
    <t>Cash</t>
  </si>
  <si>
    <t>Account Name</t>
  </si>
  <si>
    <t>Additionall Paid in Capital</t>
  </si>
  <si>
    <t>Contribution</t>
  </si>
  <si>
    <t>Distribution</t>
  </si>
  <si>
    <t>Interest Payments</t>
  </si>
  <si>
    <t>Loan From</t>
  </si>
  <si>
    <t>Loan To</t>
  </si>
  <si>
    <t>Principal Payments</t>
  </si>
  <si>
    <t>+</t>
  </si>
  <si>
    <t>Due to</t>
  </si>
  <si>
    <t>Principal Payment (via factor)</t>
  </si>
  <si>
    <t>-</t>
  </si>
  <si>
    <t>Look on bank statement or TSS or AX</t>
  </si>
  <si>
    <t>Invest in Subs</t>
  </si>
  <si>
    <t>Distributions</t>
  </si>
  <si>
    <t>Interest Receivable</t>
  </si>
  <si>
    <t>Interest Payable</t>
  </si>
  <si>
    <t>Notes Payable</t>
  </si>
  <si>
    <t>Notes Receivable</t>
  </si>
  <si>
    <t>Contribution from</t>
  </si>
  <si>
    <t>Contribution to</t>
  </si>
  <si>
    <t>Distribution from</t>
  </si>
  <si>
    <t>Distribution to</t>
  </si>
  <si>
    <t>Interest Payment to</t>
  </si>
  <si>
    <t>Interest Payment from</t>
  </si>
  <si>
    <t>Note Issued to</t>
  </si>
  <si>
    <t>Loan to</t>
  </si>
  <si>
    <t>Principal Payment from</t>
  </si>
  <si>
    <t>Principal Payment to</t>
  </si>
  <si>
    <t>Due From</t>
  </si>
  <si>
    <t>SPL -</t>
  </si>
  <si>
    <t>JE Description</t>
  </si>
  <si>
    <t>Entity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</si>
</sst>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1" x14ac:knownFonts="1"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222222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color rgb="FFFF0000"/>
      <name val="Calibri"/>
      <family val="2"/>
    </font>
    <font>
      <sz val="11"/>
      <color rgb="FF22222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14" fontId="3" fillId="0" borderId="0" xfId="0" applyNumberFormat="1" applyFont="1"/>
    <xf numFmtId="8" fontId="3" fillId="0" borderId="0" xfId="0" applyNumberFormat="1" applyFont="1"/>
    <xf numFmtId="4" fontId="3" fillId="0" borderId="0" xfId="0" applyNumberFormat="1" applyFont="1"/>
    <xf numFmtId="0" fontId="4" fillId="0" borderId="0" xfId="0" applyFont="1"/>
    <xf numFmtId="0" fontId="5" fillId="0" borderId="0" xfId="0" applyFont="1"/>
    <xf numFmtId="8" fontId="4" fillId="0" borderId="0" xfId="0" applyNumberFormat="1" applyFont="1"/>
    <xf numFmtId="0" fontId="8" fillId="0" borderId="0" xfId="0" applyFont="1"/>
    <xf numFmtId="8" fontId="9" fillId="0" borderId="0" xfId="0" applyNumberFormat="1" applyFont="1"/>
    <xf numFmtId="0" fontId="9" fillId="0" borderId="0" xfId="0" applyFont="1"/>
    <xf numFmtId="0" fontId="2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3" fillId="0" borderId="0" xfId="0" applyNumberFormat="1" applyFont="1"/>
    <xf numFmtId="0" fontId="10" fillId="0" borderId="0" xfId="0" applyNumberFormat="1" applyFont="1"/>
    <xf numFmtId="0" fontId="0" fillId="0" borderId="0" xfId="0" applyNumberFormat="1" applyFont="1"/>
    <xf numFmtId="0" fontId="3" fillId="0" borderId="1" xfId="0" applyFont="1" applyBorder="1"/>
    <xf numFmtId="0" fontId="3" fillId="0" borderId="0" xfId="0" applyFont="1" applyBorder="1"/>
    <xf numFmtId="0" fontId="1" fillId="0" borderId="0" xfId="0" applyFont="1" applyBorder="1"/>
    <xf numFmtId="0" fontId="3" fillId="0" borderId="2" xfId="0" applyFont="1" applyBorder="1"/>
    <xf numFmtId="14" fontId="3" fillId="0" borderId="2" xfId="0" applyNumberFormat="1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0" fillId="0" borderId="4" xfId="0" applyBorder="1"/>
    <xf numFmtId="0" fontId="0" fillId="0" borderId="5" xfId="0" applyNumberFormat="1" applyBorder="1"/>
    <xf numFmtId="0" fontId="3" fillId="0" borderId="2" xfId="0" applyNumberFormat="1" applyFont="1" applyBorder="1"/>
    <xf numFmtId="0" fontId="0" fillId="0" borderId="2" xfId="0" applyNumberFormat="1" applyBorder="1"/>
    <xf numFmtId="0" fontId="0" fillId="2" borderId="4" xfId="0" applyFill="1" applyBorder="1"/>
    <xf numFmtId="0" fontId="1" fillId="2" borderId="0" xfId="0" applyFont="1" applyFill="1"/>
    <xf numFmtId="14" fontId="1" fillId="2" borderId="0" xfId="0" applyNumberFormat="1" applyFont="1" applyFill="1"/>
    <xf numFmtId="14" fontId="3" fillId="2" borderId="0" xfId="0" applyNumberFormat="1" applyFont="1" applyFill="1"/>
    <xf numFmtId="0" fontId="0" fillId="2" borderId="0" xfId="0" applyFill="1"/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0</xdr:row>
          <xdr:rowOff>190500</xdr:rowOff>
        </xdr:from>
        <xdr:to>
          <xdr:col>13</xdr:col>
          <xdr:colOff>2184400</xdr:colOff>
          <xdr:row>0</xdr:row>
          <xdr:rowOff>749300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C4820-5053-1548-B574-511FA12277C0}">
  <sheetPr codeName="Sheet1"/>
  <dimension ref="A1:AV22"/>
  <sheetViews>
    <sheetView zoomScale="110" zoomScaleNormal="110" workbookViewId="0">
      <selection activeCell="D2" sqref="D2:D22"/>
    </sheetView>
  </sheetViews>
  <sheetFormatPr baseColWidth="10" defaultRowHeight="16" x14ac:dyDescent="0.2"/>
  <cols>
    <col min="1" max="1" width="11.6640625" bestFit="1" customWidth="1"/>
    <col min="2" max="2" width="8.6640625" bestFit="1" customWidth="1"/>
    <col min="3" max="3" width="11.5" bestFit="1" customWidth="1"/>
    <col min="5" max="5" width="9.5" bestFit="1" customWidth="1"/>
    <col min="6" max="6" width="42.1640625" bestFit="1" customWidth="1"/>
    <col min="7" max="7" width="9.5" bestFit="1" customWidth="1"/>
    <col min="8" max="8" width="9.83203125" bestFit="1" customWidth="1"/>
    <col min="9" max="9" width="15.1640625" bestFit="1" customWidth="1"/>
    <col min="10" max="10" width="12.6640625" bestFit="1" customWidth="1"/>
    <col min="11" max="11" width="6.1640625" bestFit="1" customWidth="1"/>
    <col min="12" max="12" width="12.5" bestFit="1" customWidth="1"/>
    <col min="13" max="13" width="14.5" bestFit="1" customWidth="1"/>
    <col min="14" max="14" width="11.1640625" bestFit="1" customWidth="1"/>
    <col min="15" max="15" width="13.6640625" bestFit="1" customWidth="1"/>
    <col min="16" max="16" width="10.1640625" bestFit="1" customWidth="1"/>
    <col min="17" max="17" width="5" bestFit="1" customWidth="1"/>
    <col min="18" max="18" width="8.6640625" bestFit="1" customWidth="1"/>
    <col min="19" max="19" width="9.1640625" bestFit="1" customWidth="1"/>
    <col min="20" max="20" width="19.1640625" bestFit="1" customWidth="1"/>
    <col min="21" max="21" width="20.83203125" bestFit="1" customWidth="1"/>
    <col min="22" max="22" width="20" bestFit="1" customWidth="1"/>
    <col min="23" max="23" width="17.33203125" bestFit="1" customWidth="1"/>
    <col min="24" max="24" width="19.83203125" bestFit="1" customWidth="1"/>
  </cols>
  <sheetData>
    <row r="1" spans="1:48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</row>
    <row r="2" spans="1:48" x14ac:dyDescent="0.2">
      <c r="A2" s="3" t="s">
        <v>23</v>
      </c>
      <c r="B2" s="3" t="s">
        <v>24</v>
      </c>
      <c r="C2" s="3"/>
      <c r="D2" s="3" t="s">
        <v>25</v>
      </c>
      <c r="E2" s="3">
        <v>2069</v>
      </c>
      <c r="F2" s="3" t="s">
        <v>26</v>
      </c>
      <c r="G2" s="4">
        <v>43174</v>
      </c>
      <c r="H2" s="4">
        <v>43174</v>
      </c>
      <c r="I2" s="4">
        <v>43174</v>
      </c>
      <c r="J2" s="3">
        <v>-91.300390829999998</v>
      </c>
      <c r="K2" s="5">
        <v>1</v>
      </c>
      <c r="L2" s="5">
        <v>91.3</v>
      </c>
      <c r="M2" s="5">
        <v>2.0499999999999998</v>
      </c>
      <c r="N2" s="5">
        <v>0</v>
      </c>
      <c r="O2" s="5">
        <v>93.35</v>
      </c>
      <c r="P2" s="5">
        <v>0</v>
      </c>
      <c r="Q2" s="3" t="s">
        <v>27</v>
      </c>
      <c r="R2" s="3">
        <v>6038010</v>
      </c>
      <c r="S2" s="3">
        <v>11153</v>
      </c>
      <c r="T2" s="3">
        <v>6038009</v>
      </c>
      <c r="U2" s="3" t="s">
        <v>28</v>
      </c>
      <c r="V2" s="3">
        <v>11152</v>
      </c>
      <c r="W2" s="3">
        <v>26252</v>
      </c>
      <c r="X2" s="3">
        <v>0</v>
      </c>
    </row>
    <row r="3" spans="1:48" x14ac:dyDescent="0.2">
      <c r="A3" s="3" t="s">
        <v>23</v>
      </c>
      <c r="B3" s="3" t="s">
        <v>24</v>
      </c>
      <c r="C3" s="3"/>
      <c r="D3" s="3" t="s">
        <v>25</v>
      </c>
      <c r="E3" s="3">
        <v>14</v>
      </c>
      <c r="F3" s="3" t="s">
        <v>29</v>
      </c>
      <c r="G3" s="4">
        <v>43174</v>
      </c>
      <c r="H3" s="4">
        <v>43174</v>
      </c>
      <c r="I3" s="4">
        <v>43174</v>
      </c>
      <c r="J3" s="6">
        <v>-3956.56</v>
      </c>
      <c r="K3" s="5">
        <v>1</v>
      </c>
      <c r="L3" s="5">
        <v>3956.56</v>
      </c>
      <c r="M3" s="5">
        <v>89.02</v>
      </c>
      <c r="N3" s="5">
        <v>0</v>
      </c>
      <c r="O3" s="5">
        <v>4045.58</v>
      </c>
      <c r="P3" s="5">
        <v>0</v>
      </c>
      <c r="Q3" s="3" t="s">
        <v>27</v>
      </c>
      <c r="R3" s="3">
        <v>6037972</v>
      </c>
      <c r="S3" s="3">
        <v>3750</v>
      </c>
      <c r="T3" s="3">
        <v>6037735</v>
      </c>
      <c r="U3" s="3" t="s">
        <v>28</v>
      </c>
      <c r="V3" s="3">
        <v>3749</v>
      </c>
      <c r="W3" s="3">
        <v>26252</v>
      </c>
      <c r="X3" s="3">
        <v>0</v>
      </c>
    </row>
    <row r="4" spans="1:48" x14ac:dyDescent="0.2">
      <c r="A4" s="3" t="s">
        <v>23</v>
      </c>
      <c r="B4" s="3" t="s">
        <v>24</v>
      </c>
      <c r="C4" s="3"/>
      <c r="D4" s="3" t="s">
        <v>30</v>
      </c>
      <c r="E4" s="3">
        <v>3012</v>
      </c>
      <c r="F4" s="3" t="s">
        <v>31</v>
      </c>
      <c r="G4" s="4">
        <v>43174</v>
      </c>
      <c r="H4" s="4">
        <v>43174</v>
      </c>
      <c r="I4" s="4">
        <v>43174</v>
      </c>
      <c r="J4" s="3">
        <v>-13.61623473</v>
      </c>
      <c r="K4" s="5">
        <v>1</v>
      </c>
      <c r="L4" s="5">
        <v>13.62</v>
      </c>
      <c r="M4" s="5">
        <v>0.31</v>
      </c>
      <c r="N4" s="5">
        <v>0</v>
      </c>
      <c r="O4" s="5">
        <v>13.93</v>
      </c>
      <c r="P4" s="5">
        <v>0</v>
      </c>
      <c r="Q4" s="3" t="s">
        <v>27</v>
      </c>
      <c r="R4" s="3">
        <v>6038432</v>
      </c>
      <c r="S4" s="3">
        <v>39223</v>
      </c>
      <c r="T4" s="3">
        <v>6038431</v>
      </c>
      <c r="U4" s="3" t="s">
        <v>28</v>
      </c>
      <c r="V4" s="3">
        <v>39221</v>
      </c>
      <c r="W4" s="3">
        <v>26253</v>
      </c>
      <c r="X4" s="3">
        <v>0</v>
      </c>
    </row>
    <row r="5" spans="1:48" x14ac:dyDescent="0.2">
      <c r="A5" s="3" t="s">
        <v>23</v>
      </c>
      <c r="B5" s="3" t="s">
        <v>24</v>
      </c>
      <c r="C5" s="3"/>
      <c r="D5" s="3" t="s">
        <v>30</v>
      </c>
      <c r="E5" s="3">
        <v>14</v>
      </c>
      <c r="F5" s="3" t="s">
        <v>29</v>
      </c>
      <c r="G5" s="4">
        <v>43174</v>
      </c>
      <c r="H5" s="4">
        <v>43174</v>
      </c>
      <c r="I5" s="4">
        <v>43174</v>
      </c>
      <c r="J5" s="6">
        <v>-2994.7</v>
      </c>
      <c r="K5" s="5">
        <v>1</v>
      </c>
      <c r="L5" s="5">
        <v>2994.7</v>
      </c>
      <c r="M5" s="5">
        <v>67.38</v>
      </c>
      <c r="N5" s="5">
        <v>0</v>
      </c>
      <c r="O5" s="5">
        <v>3062.08</v>
      </c>
      <c r="P5" s="5">
        <v>0</v>
      </c>
      <c r="Q5" s="3" t="s">
        <v>27</v>
      </c>
      <c r="R5" s="3">
        <v>6037947</v>
      </c>
      <c r="S5" s="3">
        <v>39217</v>
      </c>
      <c r="T5" s="3">
        <v>6037721</v>
      </c>
      <c r="U5" s="3" t="s">
        <v>28</v>
      </c>
      <c r="V5" s="3">
        <v>39215</v>
      </c>
      <c r="W5" s="3">
        <v>26253</v>
      </c>
      <c r="X5" s="3">
        <v>0</v>
      </c>
    </row>
    <row r="6" spans="1:48" x14ac:dyDescent="0.2">
      <c r="A6" s="3" t="s">
        <v>23</v>
      </c>
      <c r="B6" s="3" t="s">
        <v>24</v>
      </c>
      <c r="C6" s="3"/>
      <c r="D6" s="3" t="s">
        <v>30</v>
      </c>
      <c r="E6" s="3">
        <v>3023</v>
      </c>
      <c r="F6" s="3" t="s">
        <v>32</v>
      </c>
      <c r="G6" s="4">
        <v>43174</v>
      </c>
      <c r="H6" s="4">
        <v>43174</v>
      </c>
      <c r="I6" s="4">
        <v>43174</v>
      </c>
      <c r="J6" s="6">
        <v>-12396.93</v>
      </c>
      <c r="K6" s="5">
        <v>1</v>
      </c>
      <c r="L6" s="5">
        <v>12396.93</v>
      </c>
      <c r="M6" s="5">
        <v>278.93</v>
      </c>
      <c r="N6" s="5">
        <v>0</v>
      </c>
      <c r="O6" s="5">
        <v>12675.86</v>
      </c>
      <c r="P6" s="5">
        <v>0</v>
      </c>
      <c r="Q6" s="3" t="s">
        <v>27</v>
      </c>
      <c r="R6" s="3">
        <v>6040966</v>
      </c>
      <c r="S6" s="3">
        <v>39226</v>
      </c>
      <c r="T6" s="3">
        <v>6040965</v>
      </c>
      <c r="U6" s="3" t="s">
        <v>33</v>
      </c>
      <c r="V6" s="3">
        <v>39224</v>
      </c>
      <c r="W6" s="3">
        <v>26214</v>
      </c>
      <c r="X6" s="3">
        <v>0</v>
      </c>
    </row>
    <row r="7" spans="1:48" x14ac:dyDescent="0.2">
      <c r="A7" s="3" t="s">
        <v>23</v>
      </c>
      <c r="B7" s="3" t="s">
        <v>24</v>
      </c>
      <c r="C7" s="3"/>
      <c r="D7" s="3" t="s">
        <v>34</v>
      </c>
      <c r="E7" s="3">
        <v>1949</v>
      </c>
      <c r="F7" s="3" t="s">
        <v>35</v>
      </c>
      <c r="G7" s="4">
        <v>43174</v>
      </c>
      <c r="H7" s="4">
        <v>43174</v>
      </c>
      <c r="I7" s="4">
        <v>43174</v>
      </c>
      <c r="J7" s="6">
        <v>-1096</v>
      </c>
      <c r="K7" s="5">
        <v>1</v>
      </c>
      <c r="L7" s="5">
        <v>1096</v>
      </c>
      <c r="M7" s="5">
        <v>24.66</v>
      </c>
      <c r="N7" s="5">
        <v>0</v>
      </c>
      <c r="O7" s="5">
        <v>1120.6600000000001</v>
      </c>
      <c r="P7" s="5">
        <v>0</v>
      </c>
      <c r="Q7" s="3" t="s">
        <v>27</v>
      </c>
      <c r="R7" s="3">
        <v>6038529</v>
      </c>
      <c r="S7" s="3">
        <v>10751</v>
      </c>
      <c r="T7" s="3">
        <v>6038528</v>
      </c>
      <c r="U7" s="3" t="s">
        <v>28</v>
      </c>
      <c r="V7" s="3">
        <v>10750</v>
      </c>
      <c r="W7" s="3">
        <v>26254</v>
      </c>
      <c r="X7" s="3">
        <v>0</v>
      </c>
    </row>
    <row r="8" spans="1:48" x14ac:dyDescent="0.2">
      <c r="A8" s="3" t="s">
        <v>23</v>
      </c>
      <c r="B8" s="3" t="s">
        <v>24</v>
      </c>
      <c r="C8" s="3"/>
      <c r="D8" s="3" t="s">
        <v>34</v>
      </c>
      <c r="E8" s="3">
        <v>14</v>
      </c>
      <c r="F8" s="3" t="s">
        <v>29</v>
      </c>
      <c r="G8" s="4">
        <v>43174</v>
      </c>
      <c r="H8" s="4">
        <v>43174</v>
      </c>
      <c r="I8" s="4">
        <v>43174</v>
      </c>
      <c r="J8" s="6">
        <v>-6053.49</v>
      </c>
      <c r="K8" s="5">
        <v>1</v>
      </c>
      <c r="L8" s="5">
        <v>6053.49</v>
      </c>
      <c r="M8" s="5">
        <v>136.19999999999999</v>
      </c>
      <c r="N8" s="5">
        <v>0</v>
      </c>
      <c r="O8" s="5">
        <v>6189.69</v>
      </c>
      <c r="P8" s="5">
        <v>0</v>
      </c>
      <c r="Q8" s="3" t="s">
        <v>27</v>
      </c>
      <c r="R8" s="3">
        <v>6037971</v>
      </c>
      <c r="S8" s="3">
        <v>194</v>
      </c>
      <c r="T8" s="3">
        <v>6036781</v>
      </c>
      <c r="U8" s="3" t="s">
        <v>28</v>
      </c>
      <c r="V8" s="3">
        <v>193</v>
      </c>
      <c r="W8" s="3">
        <v>26254</v>
      </c>
      <c r="X8" s="3">
        <v>0</v>
      </c>
    </row>
    <row r="9" spans="1:48" x14ac:dyDescent="0.2">
      <c r="A9" s="3" t="s">
        <v>23</v>
      </c>
      <c r="B9" s="3" t="s">
        <v>24</v>
      </c>
      <c r="C9" s="3"/>
      <c r="D9" s="3" t="s">
        <v>36</v>
      </c>
      <c r="E9" s="3">
        <v>14</v>
      </c>
      <c r="F9" s="3" t="s">
        <v>29</v>
      </c>
      <c r="G9" s="4">
        <v>43174</v>
      </c>
      <c r="H9" s="4">
        <v>43174</v>
      </c>
      <c r="I9" s="4">
        <v>43174</v>
      </c>
      <c r="J9" s="6">
        <v>-2165.2600000000002</v>
      </c>
      <c r="K9" s="5">
        <v>1</v>
      </c>
      <c r="L9" s="5">
        <v>2165.2600000000002</v>
      </c>
      <c r="M9" s="5">
        <v>48.72</v>
      </c>
      <c r="N9" s="5">
        <v>0</v>
      </c>
      <c r="O9" s="5">
        <v>2213.98</v>
      </c>
      <c r="P9" s="5">
        <v>0</v>
      </c>
      <c r="Q9" s="3" t="s">
        <v>27</v>
      </c>
      <c r="R9" s="3">
        <v>6037979</v>
      </c>
      <c r="S9" s="3">
        <v>3784</v>
      </c>
      <c r="T9" s="3">
        <v>6037968</v>
      </c>
      <c r="U9" s="3" t="s">
        <v>28</v>
      </c>
      <c r="V9" s="3">
        <v>3783</v>
      </c>
      <c r="W9" s="3">
        <v>26255</v>
      </c>
      <c r="X9" s="3">
        <v>0</v>
      </c>
    </row>
    <row r="10" spans="1:48" x14ac:dyDescent="0.2">
      <c r="A10" s="3" t="s">
        <v>23</v>
      </c>
      <c r="B10" s="3" t="s">
        <v>56</v>
      </c>
      <c r="C10" s="3"/>
      <c r="D10" s="3" t="s">
        <v>57</v>
      </c>
      <c r="E10" s="3">
        <v>3396</v>
      </c>
      <c r="F10" s="3" t="s">
        <v>58</v>
      </c>
      <c r="G10" s="4">
        <v>43178</v>
      </c>
      <c r="H10" s="4">
        <v>43178</v>
      </c>
      <c r="I10" s="4">
        <v>43174</v>
      </c>
      <c r="J10" s="5">
        <v>1</v>
      </c>
      <c r="K10" s="5">
        <v>1000000</v>
      </c>
      <c r="L10" s="5">
        <v>34500</v>
      </c>
      <c r="M10" s="5">
        <v>0</v>
      </c>
      <c r="N10" s="5">
        <v>1034500</v>
      </c>
      <c r="O10" s="5">
        <v>1034500</v>
      </c>
      <c r="P10" s="5">
        <v>0</v>
      </c>
      <c r="Q10" s="3" t="s">
        <v>27</v>
      </c>
      <c r="R10" s="3">
        <v>6038010</v>
      </c>
      <c r="S10" s="3">
        <v>60141</v>
      </c>
      <c r="T10" s="3">
        <v>6037735</v>
      </c>
      <c r="U10" s="3" t="s">
        <v>59</v>
      </c>
      <c r="V10" s="3">
        <v>60088</v>
      </c>
      <c r="W10" s="3">
        <v>26252</v>
      </c>
      <c r="X10" s="3">
        <v>0</v>
      </c>
      <c r="Y10" s="10" t="s">
        <v>60</v>
      </c>
      <c r="Z10" s="10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1:48" x14ac:dyDescent="0.2">
      <c r="A11" s="3" t="s">
        <v>23</v>
      </c>
      <c r="B11" s="3" t="s">
        <v>61</v>
      </c>
      <c r="C11" s="3"/>
      <c r="D11" s="3" t="s">
        <v>62</v>
      </c>
      <c r="E11" s="3">
        <v>458</v>
      </c>
      <c r="F11" s="3" t="s">
        <v>63</v>
      </c>
      <c r="G11" s="4">
        <v>43172</v>
      </c>
      <c r="H11" s="4">
        <v>43173</v>
      </c>
      <c r="I11" s="4">
        <v>43174</v>
      </c>
      <c r="J11" s="5">
        <v>1453000</v>
      </c>
      <c r="K11" s="11">
        <v>-1453000</v>
      </c>
      <c r="L11" s="5">
        <v>0</v>
      </c>
      <c r="M11" s="5">
        <v>0</v>
      </c>
      <c r="N11" s="11">
        <v>-1453000</v>
      </c>
      <c r="O11" s="11">
        <v>-1453000</v>
      </c>
      <c r="P11" s="5">
        <v>0</v>
      </c>
      <c r="Q11" s="3" t="s">
        <v>27</v>
      </c>
      <c r="R11" s="3">
        <v>6037972</v>
      </c>
      <c r="S11" s="3">
        <v>60061</v>
      </c>
      <c r="T11" s="3">
        <v>6038431</v>
      </c>
      <c r="U11" s="3" t="s">
        <v>64</v>
      </c>
      <c r="V11" s="3">
        <v>60059</v>
      </c>
      <c r="W11" s="3">
        <v>26252</v>
      </c>
      <c r="X11" s="3">
        <v>0</v>
      </c>
      <c r="Y11" s="10" t="s">
        <v>65</v>
      </c>
      <c r="Z11" s="10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1:48" x14ac:dyDescent="0.2">
      <c r="A12" s="3" t="s">
        <v>23</v>
      </c>
      <c r="B12" s="3" t="s">
        <v>66</v>
      </c>
      <c r="C12" s="3"/>
      <c r="D12" s="3" t="s">
        <v>64</v>
      </c>
      <c r="E12" s="3">
        <v>3832</v>
      </c>
      <c r="F12" s="3" t="s">
        <v>67</v>
      </c>
      <c r="G12" s="4">
        <v>43174</v>
      </c>
      <c r="H12" s="4">
        <v>43174</v>
      </c>
      <c r="I12" s="4">
        <v>43174</v>
      </c>
      <c r="J12" s="5">
        <v>1</v>
      </c>
      <c r="K12" s="5">
        <v>525307.22</v>
      </c>
      <c r="L12" s="5">
        <v>0</v>
      </c>
      <c r="M12" s="5">
        <v>0</v>
      </c>
      <c r="N12" s="5">
        <v>525307.22</v>
      </c>
      <c r="O12" s="5">
        <v>525307.22</v>
      </c>
      <c r="P12" s="5">
        <v>0</v>
      </c>
      <c r="Q12" s="3" t="s">
        <v>27</v>
      </c>
      <c r="R12" s="3">
        <v>6038432</v>
      </c>
      <c r="S12" s="3">
        <v>0</v>
      </c>
      <c r="T12" s="3">
        <v>6037721</v>
      </c>
      <c r="U12" s="3" t="s">
        <v>68</v>
      </c>
      <c r="V12" s="3">
        <v>60061</v>
      </c>
      <c r="W12" s="3">
        <v>26253</v>
      </c>
      <c r="X12" s="3">
        <v>0</v>
      </c>
      <c r="Y12" s="10" t="s">
        <v>69</v>
      </c>
      <c r="Z12" s="10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1:48" x14ac:dyDescent="0.2">
      <c r="A13" s="3" t="s">
        <v>23</v>
      </c>
      <c r="B13" s="3" t="s">
        <v>70</v>
      </c>
      <c r="C13" s="3" t="s">
        <v>11</v>
      </c>
      <c r="D13" s="3" t="s">
        <v>64</v>
      </c>
      <c r="E13" s="3">
        <v>3222</v>
      </c>
      <c r="F13" s="3" t="s">
        <v>71</v>
      </c>
      <c r="G13" s="4">
        <v>43174</v>
      </c>
      <c r="H13" s="4">
        <v>43174</v>
      </c>
      <c r="I13" s="4">
        <v>43174</v>
      </c>
      <c r="J13" s="5">
        <v>0</v>
      </c>
      <c r="K13" s="5">
        <v>0</v>
      </c>
      <c r="L13" s="11">
        <v>-6944.72</v>
      </c>
      <c r="M13" s="5">
        <v>0</v>
      </c>
      <c r="N13" s="11">
        <v>-6944.72</v>
      </c>
      <c r="O13" s="11">
        <v>-6944.72</v>
      </c>
      <c r="P13" s="5">
        <v>0</v>
      </c>
      <c r="Q13" s="3" t="s">
        <v>27</v>
      </c>
      <c r="R13" s="3">
        <v>6037947</v>
      </c>
      <c r="S13" s="3">
        <v>0</v>
      </c>
      <c r="T13" s="3">
        <v>6040965</v>
      </c>
      <c r="U13" s="3" t="s">
        <v>68</v>
      </c>
      <c r="V13" s="3">
        <v>60061</v>
      </c>
      <c r="W13" s="3">
        <v>26253</v>
      </c>
      <c r="X13" s="3">
        <v>0</v>
      </c>
      <c r="Y13" s="10" t="s">
        <v>72</v>
      </c>
      <c r="Z13" s="10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1:48" x14ac:dyDescent="0.2">
      <c r="A14" s="3" t="s">
        <v>23</v>
      </c>
      <c r="B14" s="3" t="s">
        <v>70</v>
      </c>
      <c r="C14" s="3" t="s">
        <v>73</v>
      </c>
      <c r="D14" s="3" t="s">
        <v>64</v>
      </c>
      <c r="E14" s="3">
        <v>3222</v>
      </c>
      <c r="F14" s="3" t="s">
        <v>71</v>
      </c>
      <c r="G14" s="4">
        <v>43174</v>
      </c>
      <c r="H14" s="4">
        <v>43174</v>
      </c>
      <c r="I14" s="4">
        <v>43174</v>
      </c>
      <c r="J14" s="5">
        <v>1</v>
      </c>
      <c r="K14" s="11">
        <v>-225112.5</v>
      </c>
      <c r="L14" s="5">
        <v>0</v>
      </c>
      <c r="M14" s="5">
        <v>0</v>
      </c>
      <c r="N14" s="11">
        <v>-225112.5</v>
      </c>
      <c r="O14" s="11">
        <v>-225112.5</v>
      </c>
      <c r="P14" s="5">
        <v>0</v>
      </c>
      <c r="Q14" s="3" t="s">
        <v>27</v>
      </c>
      <c r="R14" s="3">
        <v>6040966</v>
      </c>
      <c r="S14" s="3">
        <v>0</v>
      </c>
      <c r="T14" s="3">
        <v>6038528</v>
      </c>
      <c r="U14" s="3" t="s">
        <v>68</v>
      </c>
      <c r="V14" s="3">
        <v>60061</v>
      </c>
      <c r="W14" s="3">
        <v>26214</v>
      </c>
      <c r="X14" s="3">
        <v>0</v>
      </c>
      <c r="Y14" s="10" t="s">
        <v>74</v>
      </c>
      <c r="Z14" s="10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1:48" x14ac:dyDescent="0.2">
      <c r="A15" s="3" t="s">
        <v>23</v>
      </c>
      <c r="B15" s="3" t="s">
        <v>75</v>
      </c>
      <c r="C15" s="3" t="s">
        <v>76</v>
      </c>
      <c r="D15" s="3" t="s">
        <v>64</v>
      </c>
      <c r="E15" s="3">
        <v>0</v>
      </c>
      <c r="F15" s="3" t="s">
        <v>77</v>
      </c>
      <c r="G15" s="4">
        <v>43174</v>
      </c>
      <c r="H15" s="4">
        <v>43174</v>
      </c>
      <c r="I15" s="4">
        <v>43174</v>
      </c>
      <c r="J15" s="5">
        <v>1</v>
      </c>
      <c r="K15" s="11">
        <v>-1453000</v>
      </c>
      <c r="L15" s="5">
        <v>0</v>
      </c>
      <c r="M15" s="5">
        <v>0</v>
      </c>
      <c r="N15" s="11">
        <v>-1453000</v>
      </c>
      <c r="O15" s="11">
        <v>-1453000</v>
      </c>
      <c r="P15" s="5">
        <v>0</v>
      </c>
      <c r="Q15" s="3" t="s">
        <v>27</v>
      </c>
      <c r="R15" s="3">
        <v>6038529</v>
      </c>
      <c r="S15" s="3">
        <v>60061</v>
      </c>
      <c r="T15" s="3">
        <v>6036781</v>
      </c>
      <c r="U15" s="3" t="s">
        <v>64</v>
      </c>
      <c r="V15" s="3">
        <v>60061</v>
      </c>
      <c r="W15" s="3">
        <v>26254</v>
      </c>
      <c r="X15" s="3">
        <v>0</v>
      </c>
      <c r="Y15" s="10" t="s">
        <v>77</v>
      </c>
      <c r="Z15" s="10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1:48" x14ac:dyDescent="0.2">
      <c r="A16" s="3" t="s">
        <v>23</v>
      </c>
      <c r="B16" s="3" t="s">
        <v>70</v>
      </c>
      <c r="C16" s="3" t="s">
        <v>78</v>
      </c>
      <c r="D16" s="3" t="s">
        <v>79</v>
      </c>
      <c r="E16" s="3">
        <v>204</v>
      </c>
      <c r="F16" s="3" t="s">
        <v>80</v>
      </c>
      <c r="G16" s="4">
        <v>43185</v>
      </c>
      <c r="H16" s="4">
        <v>43185</v>
      </c>
      <c r="I16" s="4">
        <v>43174</v>
      </c>
      <c r="J16" s="5">
        <v>0.02</v>
      </c>
      <c r="K16" s="5">
        <v>0</v>
      </c>
      <c r="L16" s="5">
        <v>250000</v>
      </c>
      <c r="M16" s="5">
        <v>0</v>
      </c>
      <c r="N16" s="5">
        <v>250000</v>
      </c>
      <c r="O16" s="5">
        <v>250000</v>
      </c>
      <c r="P16" s="5">
        <v>0</v>
      </c>
      <c r="Q16" s="3" t="s">
        <v>27</v>
      </c>
      <c r="R16" s="3">
        <v>6037971</v>
      </c>
      <c r="S16" s="12">
        <v>40263</v>
      </c>
      <c r="T16" s="3">
        <v>6037968</v>
      </c>
      <c r="U16" s="3" t="s">
        <v>81</v>
      </c>
      <c r="V16" s="3">
        <v>60034</v>
      </c>
      <c r="W16" s="3">
        <v>26254</v>
      </c>
      <c r="X16" s="3">
        <v>0</v>
      </c>
      <c r="Y16" s="10" t="s">
        <v>82</v>
      </c>
      <c r="Z16" s="10"/>
    </row>
    <row r="17" spans="1:48" x14ac:dyDescent="0.2">
      <c r="A17" s="3" t="s">
        <v>23</v>
      </c>
      <c r="B17" s="3" t="s">
        <v>70</v>
      </c>
      <c r="C17" s="3" t="s">
        <v>78</v>
      </c>
      <c r="D17" s="3" t="s">
        <v>79</v>
      </c>
      <c r="E17" s="3">
        <v>204</v>
      </c>
      <c r="F17" s="3" t="s">
        <v>80</v>
      </c>
      <c r="G17" s="4">
        <v>43185</v>
      </c>
      <c r="H17" s="4">
        <v>43185</v>
      </c>
      <c r="I17" s="4">
        <v>43174</v>
      </c>
      <c r="J17" s="5">
        <v>0.02</v>
      </c>
      <c r="K17" s="5">
        <v>0</v>
      </c>
      <c r="L17" s="5">
        <v>250000</v>
      </c>
      <c r="M17" s="5">
        <v>0</v>
      </c>
      <c r="N17" s="5">
        <v>250000</v>
      </c>
      <c r="O17" s="5">
        <v>250000</v>
      </c>
      <c r="P17" s="3" t="s">
        <v>81</v>
      </c>
      <c r="Q17" s="3">
        <v>60034</v>
      </c>
      <c r="R17" s="12">
        <v>40263</v>
      </c>
      <c r="S17" s="12">
        <v>40263</v>
      </c>
      <c r="T17" s="3">
        <v>6038431</v>
      </c>
      <c r="U17" s="3" t="s">
        <v>81</v>
      </c>
      <c r="V17" s="3">
        <v>60059</v>
      </c>
      <c r="W17" s="3">
        <v>26252</v>
      </c>
      <c r="X17" s="3">
        <v>0</v>
      </c>
      <c r="Y17" s="1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1:48" x14ac:dyDescent="0.2">
      <c r="A18" s="3" t="s">
        <v>23</v>
      </c>
      <c r="B18" s="3" t="s">
        <v>83</v>
      </c>
      <c r="C18" s="3" t="s">
        <v>84</v>
      </c>
      <c r="D18" s="3" t="s">
        <v>85</v>
      </c>
      <c r="E18" s="3">
        <v>2668</v>
      </c>
      <c r="F18" s="3" t="s">
        <v>86</v>
      </c>
      <c r="G18" s="4">
        <v>43171</v>
      </c>
      <c r="H18" s="4">
        <v>43171</v>
      </c>
      <c r="I18" s="4">
        <v>43174</v>
      </c>
      <c r="J18" s="5">
        <v>1</v>
      </c>
      <c r="K18" s="11">
        <v>-3990.14</v>
      </c>
      <c r="L18" s="5">
        <v>0</v>
      </c>
      <c r="M18" s="5">
        <v>0</v>
      </c>
      <c r="N18" s="11">
        <v>-3990.14</v>
      </c>
      <c r="O18" s="11">
        <v>-3990.14</v>
      </c>
      <c r="P18" s="3" t="s">
        <v>81</v>
      </c>
      <c r="Q18" s="3">
        <v>60138</v>
      </c>
      <c r="R18" s="12">
        <v>40255</v>
      </c>
      <c r="S18" s="12">
        <v>40255</v>
      </c>
      <c r="T18" s="3">
        <v>6037721</v>
      </c>
      <c r="U18" s="3" t="s">
        <v>81</v>
      </c>
      <c r="V18" s="3">
        <v>60061</v>
      </c>
      <c r="W18" s="3">
        <v>26253</v>
      </c>
      <c r="X18" s="3">
        <v>0</v>
      </c>
      <c r="Y18" s="1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1:48" x14ac:dyDescent="0.2">
      <c r="A19" s="3" t="s">
        <v>23</v>
      </c>
      <c r="B19" s="3" t="s">
        <v>87</v>
      </c>
      <c r="C19" s="3" t="s">
        <v>88</v>
      </c>
      <c r="D19" s="3" t="s">
        <v>89</v>
      </c>
      <c r="E19" s="3">
        <v>2174</v>
      </c>
      <c r="F19" s="3" t="s">
        <v>90</v>
      </c>
      <c r="G19" s="4">
        <v>43189</v>
      </c>
      <c r="H19" s="4">
        <v>43189</v>
      </c>
      <c r="I19" s="4">
        <v>43174</v>
      </c>
      <c r="J19" s="5">
        <v>1</v>
      </c>
      <c r="K19" s="11">
        <v>-66326.929999999993</v>
      </c>
      <c r="L19" s="5">
        <v>0</v>
      </c>
      <c r="M19" s="5">
        <v>0</v>
      </c>
      <c r="N19" s="11">
        <v>-66326.929999999993</v>
      </c>
      <c r="O19" s="11">
        <v>-66326.929999999993</v>
      </c>
      <c r="P19" s="3" t="s">
        <v>91</v>
      </c>
      <c r="Q19" s="3">
        <v>60064</v>
      </c>
      <c r="R19" s="3">
        <v>0</v>
      </c>
      <c r="S19" s="3">
        <v>0</v>
      </c>
      <c r="T19" s="3">
        <v>6040965</v>
      </c>
      <c r="U19" s="3" t="s">
        <v>91</v>
      </c>
      <c r="V19" s="3">
        <v>60061</v>
      </c>
      <c r="W19" s="3">
        <v>26253</v>
      </c>
      <c r="X19" s="3">
        <v>0</v>
      </c>
      <c r="Y19" s="1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1:48" x14ac:dyDescent="0.2">
      <c r="A20" s="3" t="s">
        <v>23</v>
      </c>
      <c r="B20" s="3" t="s">
        <v>92</v>
      </c>
      <c r="C20" s="3" t="s">
        <v>93</v>
      </c>
      <c r="D20" s="3" t="s">
        <v>94</v>
      </c>
      <c r="E20" s="3">
        <v>0</v>
      </c>
      <c r="F20" s="3" t="s">
        <v>95</v>
      </c>
      <c r="G20" s="4">
        <v>43190</v>
      </c>
      <c r="H20" s="4">
        <v>43190</v>
      </c>
      <c r="I20" s="4">
        <v>43174</v>
      </c>
      <c r="J20" s="5">
        <v>1</v>
      </c>
      <c r="K20" s="5">
        <v>0</v>
      </c>
      <c r="L20" s="5">
        <v>0</v>
      </c>
      <c r="M20" s="11">
        <v>-790641.72</v>
      </c>
      <c r="N20" s="11">
        <v>-790641.72</v>
      </c>
      <c r="O20" s="11">
        <v>-790641.72</v>
      </c>
      <c r="P20" s="3" t="s">
        <v>96</v>
      </c>
      <c r="Q20" s="3">
        <v>60035</v>
      </c>
      <c r="R20" s="3">
        <v>0</v>
      </c>
      <c r="S20" s="3">
        <v>0</v>
      </c>
      <c r="T20" s="3">
        <v>6038528</v>
      </c>
      <c r="U20" s="3" t="s">
        <v>96</v>
      </c>
      <c r="V20" s="3">
        <v>60061</v>
      </c>
      <c r="W20" s="3">
        <v>26214</v>
      </c>
      <c r="X20" s="3">
        <v>0</v>
      </c>
      <c r="Y20" s="1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1:48" x14ac:dyDescent="0.2">
      <c r="A21" s="3" t="s">
        <v>23</v>
      </c>
      <c r="B21" s="3" t="s">
        <v>37</v>
      </c>
      <c r="C21" s="3" t="s">
        <v>97</v>
      </c>
      <c r="D21" s="3" t="s">
        <v>94</v>
      </c>
      <c r="E21" s="3">
        <v>52</v>
      </c>
      <c r="F21" s="3" t="s">
        <v>98</v>
      </c>
      <c r="G21" s="4">
        <v>43182</v>
      </c>
      <c r="H21" s="4">
        <v>43182</v>
      </c>
      <c r="I21" s="4">
        <v>43174</v>
      </c>
      <c r="J21" s="5">
        <v>1</v>
      </c>
      <c r="K21" s="5">
        <v>1500000</v>
      </c>
      <c r="L21" s="5">
        <v>0</v>
      </c>
      <c r="M21" s="5">
        <v>0</v>
      </c>
      <c r="N21" s="5">
        <v>1500000</v>
      </c>
      <c r="O21" s="5">
        <v>1500000</v>
      </c>
      <c r="P21" s="3" t="s">
        <v>99</v>
      </c>
      <c r="Q21" s="3">
        <v>60035</v>
      </c>
      <c r="R21" s="3">
        <v>60120</v>
      </c>
      <c r="S21" s="3">
        <v>60120</v>
      </c>
      <c r="T21" s="3">
        <v>6036781</v>
      </c>
      <c r="U21" s="3" t="s">
        <v>99</v>
      </c>
      <c r="V21" s="3">
        <v>60061</v>
      </c>
      <c r="W21" s="3">
        <v>26254</v>
      </c>
      <c r="X21" s="3">
        <v>0</v>
      </c>
      <c r="Y21" s="1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1:48" x14ac:dyDescent="0.2">
      <c r="A22" s="3" t="s">
        <v>23</v>
      </c>
      <c r="B22" s="3" t="s">
        <v>87</v>
      </c>
      <c r="C22" s="3"/>
      <c r="D22" s="3" t="s">
        <v>59</v>
      </c>
      <c r="E22" s="3">
        <v>3396</v>
      </c>
      <c r="F22" s="3" t="s">
        <v>58</v>
      </c>
      <c r="G22" s="4">
        <v>43178</v>
      </c>
      <c r="H22" s="4">
        <v>43178</v>
      </c>
      <c r="I22" s="4">
        <v>43174</v>
      </c>
      <c r="J22" s="5">
        <v>1</v>
      </c>
      <c r="K22" s="11">
        <v>-1000000</v>
      </c>
      <c r="L22" s="11">
        <v>-34500</v>
      </c>
      <c r="M22" s="5">
        <v>0</v>
      </c>
      <c r="N22" s="11">
        <v>-1034500</v>
      </c>
      <c r="O22" s="11">
        <v>-1034500</v>
      </c>
      <c r="P22" s="3" t="s">
        <v>57</v>
      </c>
      <c r="Q22" s="3">
        <v>60141</v>
      </c>
      <c r="R22" s="3">
        <v>60088</v>
      </c>
      <c r="S22" s="3">
        <v>60088</v>
      </c>
      <c r="T22" s="3">
        <v>6037968</v>
      </c>
      <c r="U22" s="3" t="s">
        <v>57</v>
      </c>
      <c r="V22" s="3">
        <v>60034</v>
      </c>
      <c r="W22" s="3">
        <v>26254</v>
      </c>
      <c r="X22" s="3">
        <v>0</v>
      </c>
      <c r="Y22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38174-2ED3-6B45-8CFB-D0C8DD7775F7}">
  <sheetPr codeName="Sheet3"/>
  <dimension ref="A1:X22"/>
  <sheetViews>
    <sheetView workbookViewId="0">
      <selection activeCell="J14" sqref="J14"/>
    </sheetView>
  </sheetViews>
  <sheetFormatPr baseColWidth="10" defaultRowHeight="16" x14ac:dyDescent="0.2"/>
  <cols>
    <col min="1" max="1" width="10.83203125" style="26"/>
    <col min="2" max="2" width="23.6640625" style="24" bestFit="1" customWidth="1"/>
    <col min="3" max="3" width="15.6640625" style="24" bestFit="1" customWidth="1"/>
    <col min="4" max="4" width="10.83203125" style="24"/>
    <col min="5" max="5" width="14.5" style="24" customWidth="1"/>
    <col min="6" max="6" width="20.5" style="24" bestFit="1" customWidth="1"/>
    <col min="7" max="7" width="30.83203125" style="25" bestFit="1" customWidth="1"/>
    <col min="8" max="8" width="2.6640625" style="38" customWidth="1"/>
    <col min="9" max="9" width="10.83203125" style="26"/>
    <col min="10" max="10" width="10.83203125" style="33"/>
  </cols>
  <sheetData>
    <row r="1" spans="1:24" s="30" customFormat="1" ht="17" thickBot="1" x14ac:dyDescent="0.25">
      <c r="A1" s="27" t="s">
        <v>0</v>
      </c>
      <c r="B1" s="28" t="s">
        <v>100</v>
      </c>
      <c r="C1" s="28" t="s">
        <v>101</v>
      </c>
      <c r="D1" s="28" t="s">
        <v>102</v>
      </c>
      <c r="E1" s="28" t="s">
        <v>41</v>
      </c>
      <c r="F1" s="28" t="s">
        <v>103</v>
      </c>
      <c r="G1" s="29" t="s">
        <v>101</v>
      </c>
      <c r="H1" s="34"/>
      <c r="I1" s="27" t="s">
        <v>2</v>
      </c>
      <c r="J1" s="31"/>
    </row>
    <row r="2" spans="1:24" x14ac:dyDescent="0.2">
      <c r="A2" s="19" t="s">
        <v>37</v>
      </c>
      <c r="B2" s="20" t="s">
        <v>104</v>
      </c>
      <c r="C2" s="20" t="s">
        <v>105</v>
      </c>
      <c r="D2" s="21" t="s">
        <v>111</v>
      </c>
      <c r="E2" s="20">
        <v>3000</v>
      </c>
      <c r="F2" s="20" t="s">
        <v>97</v>
      </c>
      <c r="G2" s="22" t="s">
        <v>122</v>
      </c>
      <c r="H2" s="35"/>
      <c r="I2" s="3" t="s">
        <v>25</v>
      </c>
      <c r="J2" s="32">
        <v>80001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x14ac:dyDescent="0.2">
      <c r="A3" s="19" t="s">
        <v>37</v>
      </c>
      <c r="B3" s="20" t="s">
        <v>104</v>
      </c>
      <c r="C3" s="20" t="s">
        <v>105</v>
      </c>
      <c r="D3" s="20" t="s">
        <v>114</v>
      </c>
      <c r="E3" s="20">
        <v>1110</v>
      </c>
      <c r="F3" s="20" t="s">
        <v>116</v>
      </c>
      <c r="G3" s="23" t="s">
        <v>123</v>
      </c>
      <c r="H3" s="36"/>
      <c r="I3" s="3" t="s">
        <v>30</v>
      </c>
      <c r="J3" s="32">
        <v>80002</v>
      </c>
      <c r="K3" s="5"/>
      <c r="L3" s="5"/>
      <c r="M3" s="5"/>
      <c r="N3" s="5"/>
      <c r="O3" s="5"/>
      <c r="P3" s="5"/>
      <c r="Q3" s="3"/>
      <c r="R3" s="3"/>
      <c r="S3" s="3"/>
      <c r="T3" s="3"/>
      <c r="U3" s="3"/>
      <c r="V3" s="3"/>
      <c r="W3" s="3"/>
      <c r="X3" s="3"/>
    </row>
    <row r="4" spans="1:24" x14ac:dyDescent="0.2">
      <c r="A4" s="19" t="s">
        <v>61</v>
      </c>
      <c r="B4" s="20"/>
      <c r="C4" s="20" t="s">
        <v>106</v>
      </c>
      <c r="D4" s="20" t="s">
        <v>111</v>
      </c>
      <c r="E4" s="20">
        <v>1110</v>
      </c>
      <c r="F4" s="20" t="s">
        <v>116</v>
      </c>
      <c r="G4" s="23" t="s">
        <v>124</v>
      </c>
      <c r="H4" s="37"/>
      <c r="I4" s="3" t="s">
        <v>34</v>
      </c>
      <c r="J4" s="32">
        <v>80003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</row>
    <row r="5" spans="1:24" x14ac:dyDescent="0.2">
      <c r="A5" s="19" t="s">
        <v>61</v>
      </c>
      <c r="B5" s="20"/>
      <c r="C5" s="20" t="s">
        <v>106</v>
      </c>
      <c r="D5" s="20" t="s">
        <v>114</v>
      </c>
      <c r="E5" s="20">
        <v>3200</v>
      </c>
      <c r="F5" s="20" t="s">
        <v>117</v>
      </c>
      <c r="G5" s="23" t="s">
        <v>125</v>
      </c>
      <c r="H5" s="37"/>
      <c r="I5" s="3" t="s">
        <v>36</v>
      </c>
      <c r="J5" s="32">
        <v>80004</v>
      </c>
      <c r="K5" s="5"/>
      <c r="L5" s="5"/>
      <c r="M5" s="5"/>
      <c r="N5" s="5"/>
      <c r="O5" s="5"/>
      <c r="P5" s="5"/>
      <c r="Q5" s="3"/>
      <c r="R5" s="3"/>
      <c r="S5" s="3"/>
      <c r="T5" s="3"/>
      <c r="U5" s="3"/>
      <c r="V5" s="3"/>
      <c r="W5" s="3"/>
      <c r="X5" s="3"/>
    </row>
    <row r="6" spans="1:24" x14ac:dyDescent="0.2">
      <c r="A6" s="19" t="s">
        <v>70</v>
      </c>
      <c r="B6" s="20" t="s">
        <v>11</v>
      </c>
      <c r="C6" s="20" t="s">
        <v>107</v>
      </c>
      <c r="D6" s="20" t="s">
        <v>111</v>
      </c>
      <c r="E6" s="20">
        <v>1300</v>
      </c>
      <c r="F6" s="20" t="s">
        <v>118</v>
      </c>
      <c r="G6" s="23" t="s">
        <v>127</v>
      </c>
      <c r="H6" s="37"/>
      <c r="I6" s="3" t="s">
        <v>57</v>
      </c>
      <c r="J6" s="32">
        <v>80005</v>
      </c>
      <c r="K6" s="5"/>
      <c r="L6" s="5"/>
      <c r="M6" s="5"/>
      <c r="N6" s="5"/>
      <c r="O6" s="5"/>
      <c r="P6" s="5"/>
      <c r="Q6" s="3"/>
      <c r="R6" s="3"/>
      <c r="S6" s="3"/>
      <c r="T6" s="3"/>
      <c r="U6" s="3"/>
      <c r="V6" s="3"/>
      <c r="W6" s="3"/>
      <c r="X6" s="3"/>
    </row>
    <row r="7" spans="1:24" x14ac:dyDescent="0.2">
      <c r="A7" s="19" t="s">
        <v>70</v>
      </c>
      <c r="B7" s="20" t="s">
        <v>11</v>
      </c>
      <c r="C7" s="20" t="s">
        <v>107</v>
      </c>
      <c r="D7" s="20" t="s">
        <v>114</v>
      </c>
      <c r="E7" s="20">
        <v>2300</v>
      </c>
      <c r="F7" s="20" t="s">
        <v>119</v>
      </c>
      <c r="G7" s="23" t="s">
        <v>126</v>
      </c>
      <c r="H7" s="37"/>
      <c r="I7" s="3" t="s">
        <v>62</v>
      </c>
      <c r="J7" s="32">
        <v>80006</v>
      </c>
      <c r="K7" s="5"/>
      <c r="L7" s="5"/>
      <c r="M7" s="5"/>
      <c r="N7" s="5"/>
      <c r="O7" s="5"/>
      <c r="P7" s="5"/>
      <c r="Q7" s="3"/>
      <c r="R7" s="3"/>
      <c r="S7" s="3"/>
      <c r="T7" s="3"/>
      <c r="U7" s="3"/>
      <c r="V7" s="3"/>
      <c r="W7" s="3"/>
      <c r="X7" s="3"/>
    </row>
    <row r="8" spans="1:24" x14ac:dyDescent="0.2">
      <c r="A8" s="19" t="s">
        <v>66</v>
      </c>
      <c r="B8" s="20"/>
      <c r="C8" s="20" t="s">
        <v>108</v>
      </c>
      <c r="D8" s="20" t="s">
        <v>111</v>
      </c>
      <c r="E8" s="20">
        <v>2100</v>
      </c>
      <c r="F8" s="20" t="s">
        <v>120</v>
      </c>
      <c r="G8" s="23" t="s">
        <v>128</v>
      </c>
      <c r="H8" s="37"/>
      <c r="I8" s="3" t="s">
        <v>64</v>
      </c>
      <c r="J8" s="32">
        <v>80007</v>
      </c>
      <c r="K8" s="5"/>
      <c r="L8" s="5"/>
      <c r="M8" s="5"/>
      <c r="N8" s="5"/>
      <c r="O8" s="5"/>
      <c r="P8" s="5"/>
      <c r="Q8" s="3"/>
      <c r="R8" s="3"/>
      <c r="S8" s="3"/>
      <c r="T8" s="3"/>
      <c r="U8" s="3"/>
      <c r="V8" s="3"/>
      <c r="W8" s="3"/>
      <c r="X8" s="3"/>
    </row>
    <row r="9" spans="1:24" x14ac:dyDescent="0.2">
      <c r="A9" s="19" t="s">
        <v>66</v>
      </c>
      <c r="B9" s="20"/>
      <c r="C9" s="20"/>
      <c r="D9" s="20" t="s">
        <v>111</v>
      </c>
      <c r="E9" s="20">
        <v>2100</v>
      </c>
      <c r="F9" s="20"/>
      <c r="G9" s="23" t="s">
        <v>112</v>
      </c>
      <c r="H9" s="37"/>
      <c r="I9" s="3" t="s">
        <v>79</v>
      </c>
      <c r="J9" s="32">
        <v>80008</v>
      </c>
      <c r="K9" s="5"/>
      <c r="L9" s="5"/>
      <c r="M9" s="5"/>
      <c r="N9" s="5"/>
      <c r="O9" s="5"/>
      <c r="P9" s="5"/>
      <c r="Q9" s="3"/>
      <c r="R9" s="3"/>
      <c r="S9" s="3"/>
      <c r="T9" s="3"/>
      <c r="U9" s="3"/>
      <c r="V9" s="3"/>
      <c r="W9" s="3"/>
      <c r="X9" s="3"/>
    </row>
    <row r="10" spans="1:24" x14ac:dyDescent="0.2">
      <c r="A10" s="19" t="s">
        <v>87</v>
      </c>
      <c r="B10" s="20" t="s">
        <v>88</v>
      </c>
      <c r="C10" s="20" t="s">
        <v>109</v>
      </c>
      <c r="D10" s="20" t="s">
        <v>114</v>
      </c>
      <c r="E10" s="20">
        <v>1100</v>
      </c>
      <c r="F10" s="20" t="s">
        <v>121</v>
      </c>
      <c r="G10" s="23" t="s">
        <v>129</v>
      </c>
      <c r="H10" s="37"/>
      <c r="I10" s="3" t="s">
        <v>85</v>
      </c>
      <c r="J10" s="32">
        <v>80009</v>
      </c>
      <c r="K10" s="5"/>
      <c r="L10" s="5"/>
      <c r="M10" s="5"/>
      <c r="N10" s="5"/>
      <c r="O10" s="5"/>
      <c r="P10" s="5"/>
      <c r="Q10" s="3"/>
      <c r="R10" s="3"/>
      <c r="S10" s="3"/>
      <c r="T10" s="3"/>
      <c r="U10" s="3"/>
      <c r="V10" s="3"/>
      <c r="W10" s="3"/>
      <c r="X10" s="3"/>
    </row>
    <row r="11" spans="1:24" x14ac:dyDescent="0.2">
      <c r="A11" s="19" t="s">
        <v>70</v>
      </c>
      <c r="B11" s="20" t="s">
        <v>113</v>
      </c>
      <c r="C11" s="20" t="s">
        <v>110</v>
      </c>
      <c r="D11" s="20" t="s">
        <v>111</v>
      </c>
      <c r="E11" s="20">
        <v>1100</v>
      </c>
      <c r="F11" s="20" t="s">
        <v>121</v>
      </c>
      <c r="G11" s="23" t="s">
        <v>130</v>
      </c>
      <c r="H11" s="37"/>
      <c r="I11" s="3" t="s">
        <v>89</v>
      </c>
      <c r="J11" s="32">
        <v>80010</v>
      </c>
      <c r="K11" s="5"/>
      <c r="L11" s="5"/>
      <c r="M11" s="5"/>
      <c r="N11" s="5"/>
      <c r="O11" s="5"/>
      <c r="P11" s="5"/>
      <c r="Q11" s="3"/>
      <c r="R11" s="3"/>
      <c r="S11" s="3"/>
      <c r="T11" s="3"/>
      <c r="U11" s="3"/>
      <c r="V11" s="3"/>
      <c r="W11" s="3"/>
      <c r="X11" s="3"/>
    </row>
    <row r="12" spans="1:24" x14ac:dyDescent="0.2">
      <c r="A12" s="19" t="s">
        <v>70</v>
      </c>
      <c r="B12" s="20" t="s">
        <v>113</v>
      </c>
      <c r="C12" s="20" t="s">
        <v>110</v>
      </c>
      <c r="D12" s="20" t="s">
        <v>114</v>
      </c>
      <c r="E12" s="20">
        <v>2100</v>
      </c>
      <c r="F12" s="20" t="s">
        <v>120</v>
      </c>
      <c r="G12" s="23" t="s">
        <v>131</v>
      </c>
      <c r="I12" s="3" t="s">
        <v>94</v>
      </c>
      <c r="J12" s="32">
        <v>80011</v>
      </c>
    </row>
    <row r="13" spans="1:24" x14ac:dyDescent="0.2">
      <c r="A13" s="19" t="s">
        <v>24</v>
      </c>
      <c r="D13" s="20" t="s">
        <v>111</v>
      </c>
      <c r="E13" s="20">
        <v>9999</v>
      </c>
      <c r="G13" s="23" t="s">
        <v>132</v>
      </c>
      <c r="I13" s="3" t="s">
        <v>59</v>
      </c>
      <c r="J13" s="32">
        <v>80012</v>
      </c>
    </row>
    <row r="14" spans="1:24" x14ac:dyDescent="0.2">
      <c r="A14" s="19" t="s">
        <v>24</v>
      </c>
      <c r="D14" s="20" t="s">
        <v>114</v>
      </c>
      <c r="E14" s="20">
        <v>9999</v>
      </c>
      <c r="G14" s="23" t="s">
        <v>112</v>
      </c>
      <c r="I14"/>
    </row>
    <row r="15" spans="1:24" x14ac:dyDescent="0.2">
      <c r="A15" s="19" t="s">
        <v>83</v>
      </c>
      <c r="D15" s="20" t="s">
        <v>114</v>
      </c>
      <c r="E15" s="20">
        <v>4050</v>
      </c>
      <c r="G15" s="23" t="s">
        <v>133</v>
      </c>
      <c r="I15"/>
    </row>
    <row r="16" spans="1:24" x14ac:dyDescent="0.2">
      <c r="A16" s="19" t="s">
        <v>83</v>
      </c>
      <c r="D16" s="20" t="s">
        <v>111</v>
      </c>
      <c r="E16" s="20">
        <v>6000</v>
      </c>
      <c r="G16" s="23" t="s">
        <v>133</v>
      </c>
      <c r="I16"/>
    </row>
    <row r="17" spans="1:9" x14ac:dyDescent="0.2">
      <c r="A17" s="19" t="s">
        <v>56</v>
      </c>
      <c r="D17" s="20" t="s">
        <v>111</v>
      </c>
      <c r="E17" s="24" t="s">
        <v>115</v>
      </c>
      <c r="I17"/>
    </row>
    <row r="18" spans="1:9" x14ac:dyDescent="0.2">
      <c r="A18" s="3" t="s">
        <v>70</v>
      </c>
      <c r="B18" s="3" t="s">
        <v>78</v>
      </c>
      <c r="D18" s="39" t="s">
        <v>111</v>
      </c>
      <c r="E18" s="20">
        <v>1300</v>
      </c>
      <c r="G18" s="23" t="s">
        <v>127</v>
      </c>
      <c r="I18"/>
    </row>
    <row r="19" spans="1:9" x14ac:dyDescent="0.2">
      <c r="A19" s="3" t="s">
        <v>70</v>
      </c>
      <c r="B19" s="3" t="s">
        <v>78</v>
      </c>
      <c r="D19" s="39" t="s">
        <v>114</v>
      </c>
      <c r="E19" s="20">
        <v>2300</v>
      </c>
      <c r="G19" s="23" t="s">
        <v>126</v>
      </c>
      <c r="I19"/>
    </row>
    <row r="20" spans="1:9" x14ac:dyDescent="0.2">
      <c r="I20"/>
    </row>
    <row r="21" spans="1:9" x14ac:dyDescent="0.2">
      <c r="I21"/>
    </row>
    <row r="22" spans="1:9" x14ac:dyDescent="0.2">
      <c r="I2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085C3-2CB1-5649-A4A5-124984579FA9}">
  <sheetPr codeName="Sheet2"/>
  <dimension ref="A1:X22"/>
  <sheetViews>
    <sheetView tabSelected="1" workbookViewId="0">
      <selection activeCell="E4" sqref="E4"/>
    </sheetView>
  </sheetViews>
  <sheetFormatPr baseColWidth="10" defaultRowHeight="16" x14ac:dyDescent="0.2"/>
  <cols>
    <col min="1" max="1" width="29.1640625" style="15" customWidth="1"/>
    <col min="2" max="13" width="10.83203125" style="15"/>
    <col min="14" max="14" width="33" style="15" customWidth="1"/>
    <col min="15" max="16384" width="10.83203125" style="15"/>
  </cols>
  <sheetData>
    <row r="1" spans="1:24" ht="74" customHeight="1" x14ac:dyDescent="0.2">
      <c r="A1" s="13"/>
      <c r="B1" s="14"/>
      <c r="C1" s="14" t="s">
        <v>40</v>
      </c>
      <c r="D1" s="14" t="s">
        <v>41</v>
      </c>
      <c r="E1" s="14"/>
      <c r="F1" s="14"/>
      <c r="G1" s="14" t="s">
        <v>4</v>
      </c>
      <c r="H1" s="14"/>
      <c r="I1" s="14"/>
      <c r="J1" s="14" t="s">
        <v>134</v>
      </c>
      <c r="K1" s="14"/>
      <c r="L1" s="14" t="s">
        <v>135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s="18" customFormat="1" x14ac:dyDescent="0.2">
      <c r="A2" s="17"/>
      <c r="B2" s="16"/>
      <c r="C2" s="16">
        <v>80001</v>
      </c>
      <c r="D2" s="16">
        <v>9999</v>
      </c>
      <c r="E2" s="16"/>
      <c r="F2" s="16"/>
      <c r="G2" s="16">
        <v>2069</v>
      </c>
      <c r="H2" s="16"/>
      <c r="I2" s="16"/>
      <c r="J2" s="16" t="s">
        <v>132</v>
      </c>
      <c r="K2" s="16"/>
      <c r="L2" s="16" t="s">
        <v>25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</row>
    <row r="3" spans="1:24" x14ac:dyDescent="0.2">
      <c r="A3" s="16"/>
      <c r="B3" s="16"/>
      <c r="C3" s="16">
        <v>80001</v>
      </c>
      <c r="D3" s="16">
        <v>9999</v>
      </c>
      <c r="E3" s="16"/>
      <c r="F3" s="16"/>
      <c r="G3" s="16">
        <v>14</v>
      </c>
      <c r="H3" s="16"/>
      <c r="I3" s="16"/>
      <c r="J3" s="16" t="s">
        <v>132</v>
      </c>
      <c r="K3" s="16"/>
      <c r="L3" s="16" t="s">
        <v>25</v>
      </c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</row>
    <row r="4" spans="1:24" x14ac:dyDescent="0.2">
      <c r="A4" s="16"/>
      <c r="B4" s="16"/>
      <c r="C4" s="16">
        <v>80002</v>
      </c>
      <c r="D4" s="16">
        <v>9999</v>
      </c>
      <c r="E4" s="16"/>
      <c r="F4" s="16"/>
      <c r="G4" s="16">
        <v>3012</v>
      </c>
      <c r="H4" s="16"/>
      <c r="I4" s="16"/>
      <c r="J4" s="16" t="s">
        <v>132</v>
      </c>
      <c r="K4" s="16"/>
      <c r="L4" s="16" t="s">
        <v>30</v>
      </c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1:24" x14ac:dyDescent="0.2">
      <c r="A5" s="16"/>
      <c r="B5" s="16"/>
      <c r="C5" s="16">
        <v>80002</v>
      </c>
      <c r="D5" s="16">
        <v>9999</v>
      </c>
      <c r="E5" s="16"/>
      <c r="F5" s="16"/>
      <c r="G5" s="16">
        <v>14</v>
      </c>
      <c r="H5" s="16"/>
      <c r="I5" s="16"/>
      <c r="J5" s="16" t="s">
        <v>132</v>
      </c>
      <c r="K5" s="16"/>
      <c r="L5" s="16" t="s">
        <v>30</v>
      </c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</row>
    <row r="6" spans="1:24" x14ac:dyDescent="0.2">
      <c r="A6" s="16"/>
      <c r="B6" s="16"/>
      <c r="C6" s="16">
        <v>80002</v>
      </c>
      <c r="D6" s="16">
        <v>9999</v>
      </c>
      <c r="E6" s="16"/>
      <c r="F6" s="16"/>
      <c r="G6" s="16">
        <v>3023</v>
      </c>
      <c r="H6" s="16"/>
      <c r="I6" s="16"/>
      <c r="J6" s="16" t="s">
        <v>132</v>
      </c>
      <c r="K6" s="16"/>
      <c r="L6" s="16" t="s">
        <v>30</v>
      </c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</row>
    <row r="7" spans="1:24" x14ac:dyDescent="0.2">
      <c r="C7" s="15">
        <v>80003</v>
      </c>
      <c r="D7" s="15">
        <v>9999</v>
      </c>
      <c r="G7" s="15">
        <v>1949</v>
      </c>
      <c r="J7" s="15" t="s">
        <v>132</v>
      </c>
      <c r="L7" s="15" t="s">
        <v>34</v>
      </c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</row>
    <row r="8" spans="1:24" x14ac:dyDescent="0.2">
      <c r="C8" s="15">
        <v>80003</v>
      </c>
      <c r="D8" s="15">
        <v>9999</v>
      </c>
      <c r="G8" s="15">
        <v>14</v>
      </c>
      <c r="J8" s="15" t="s">
        <v>132</v>
      </c>
      <c r="L8" s="15" t="s">
        <v>34</v>
      </c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1:24" x14ac:dyDescent="0.2">
      <c r="C9" s="15">
        <v>80004</v>
      </c>
      <c r="D9" s="15">
        <v>9999</v>
      </c>
      <c r="G9" s="15">
        <v>14</v>
      </c>
      <c r="J9" s="15" t="s">
        <v>132</v>
      </c>
      <c r="L9" s="15" t="s">
        <v>36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</row>
    <row r="10" spans="1:24" x14ac:dyDescent="0.2">
      <c r="C10" s="15">
        <v>80005</v>
      </c>
      <c r="D10" s="15" t="s">
        <v>115</v>
      </c>
      <c r="G10" s="15">
        <v>3396</v>
      </c>
      <c r="L10" s="15" t="s">
        <v>57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</row>
    <row r="11" spans="1:24" x14ac:dyDescent="0.2">
      <c r="C11" s="15">
        <v>80006</v>
      </c>
      <c r="D11" s="15">
        <v>3200</v>
      </c>
      <c r="G11" s="15">
        <v>458</v>
      </c>
      <c r="J11" s="15" t="s">
        <v>125</v>
      </c>
      <c r="L11" s="15" t="s">
        <v>62</v>
      </c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</row>
    <row r="12" spans="1:24" x14ac:dyDescent="0.2">
      <c r="C12" s="15">
        <v>80007</v>
      </c>
      <c r="D12" s="15">
        <v>2100</v>
      </c>
      <c r="G12" s="15">
        <v>3832</v>
      </c>
      <c r="J12" s="15" t="s">
        <v>112</v>
      </c>
      <c r="L12" s="15" t="s">
        <v>64</v>
      </c>
    </row>
    <row r="13" spans="1:24" x14ac:dyDescent="0.2">
      <c r="C13" s="15">
        <v>80007</v>
      </c>
      <c r="D13" s="15">
        <v>2300</v>
      </c>
      <c r="G13" s="15">
        <v>3222</v>
      </c>
      <c r="J13" s="15" t="s">
        <v>126</v>
      </c>
      <c r="L13" s="15" t="s">
        <v>64</v>
      </c>
    </row>
    <row r="14" spans="1:24" x14ac:dyDescent="0.2">
      <c r="C14" s="15">
        <v>80007</v>
      </c>
      <c r="G14" s="15">
        <v>3222</v>
      </c>
      <c r="L14" s="15" t="s">
        <v>64</v>
      </c>
    </row>
    <row r="15" spans="1:24" x14ac:dyDescent="0.2">
      <c r="C15" s="15">
        <v>80007</v>
      </c>
      <c r="G15" s="15">
        <v>0</v>
      </c>
      <c r="L15" s="15" t="s">
        <v>64</v>
      </c>
    </row>
    <row r="16" spans="1:24" x14ac:dyDescent="0.2">
      <c r="C16" s="15">
        <v>80008</v>
      </c>
      <c r="D16" s="15">
        <v>1300</v>
      </c>
      <c r="G16" s="15">
        <v>204</v>
      </c>
      <c r="J16" s="15" t="s">
        <v>127</v>
      </c>
      <c r="L16" s="15" t="s">
        <v>79</v>
      </c>
    </row>
    <row r="17" spans="3:12" x14ac:dyDescent="0.2">
      <c r="C17" s="15">
        <v>80008</v>
      </c>
      <c r="D17" s="15">
        <v>1300</v>
      </c>
      <c r="G17" s="15">
        <v>204</v>
      </c>
      <c r="J17" s="15" t="s">
        <v>127</v>
      </c>
      <c r="L17" s="15" t="s">
        <v>79</v>
      </c>
    </row>
    <row r="18" spans="3:12" x14ac:dyDescent="0.2">
      <c r="C18" s="15">
        <v>80009</v>
      </c>
      <c r="G18" s="15">
        <v>2668</v>
      </c>
      <c r="L18" s="15" t="s">
        <v>85</v>
      </c>
    </row>
    <row r="19" spans="3:12" x14ac:dyDescent="0.2">
      <c r="C19" s="15">
        <v>80010</v>
      </c>
      <c r="D19" s="15">
        <v>1100</v>
      </c>
      <c r="G19" s="15">
        <v>2174</v>
      </c>
      <c r="J19" s="15" t="s">
        <v>129</v>
      </c>
      <c r="L19" s="15" t="s">
        <v>89</v>
      </c>
    </row>
    <row r="20" spans="3:12" x14ac:dyDescent="0.2">
      <c r="C20" s="15">
        <v>80011</v>
      </c>
      <c r="G20" s="15">
        <v>0</v>
      </c>
      <c r="L20" s="15" t="s">
        <v>94</v>
      </c>
    </row>
    <row r="21" spans="3:12" x14ac:dyDescent="0.2">
      <c r="C21" s="15">
        <v>80011</v>
      </c>
      <c r="G21" s="15">
        <v>52</v>
      </c>
      <c r="L21" s="15" t="s">
        <v>94</v>
      </c>
    </row>
    <row r="22" spans="3:12" x14ac:dyDescent="0.2">
      <c r="C22" s="15">
        <v>80012</v>
      </c>
      <c r="G22" s="15">
        <v>3396</v>
      </c>
      <c r="L22" s="15" t="s">
        <v>59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nalyze">
                <anchor moveWithCells="1" sizeWithCells="1">
                  <from>
                    <xdr:col>13</xdr:col>
                    <xdr:colOff>101600</xdr:colOff>
                    <xdr:row>0</xdr:row>
                    <xdr:rowOff>190500</xdr:rowOff>
                  </from>
                  <to>
                    <xdr:col>13</xdr:col>
                    <xdr:colOff>2184400</xdr:colOff>
                    <xdr:row>0</xdr:row>
                    <xdr:rowOff>749300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46485-68F4-8049-B306-295034BDD8D6}">
  <sheetPr codeName="Sheet4"/>
  <dimension ref="A2:L19"/>
  <sheetViews>
    <sheetView zoomScale="130" zoomScaleNormal="130" workbookViewId="0">
      <selection activeCell="B2" sqref="B2"/>
    </sheetView>
  </sheetViews>
  <sheetFormatPr baseColWidth="10" defaultRowHeight="16" x14ac:dyDescent="0.2"/>
  <cols>
    <col min="1" max="1" width="20.6640625" bestFit="1" customWidth="1"/>
    <col min="2" max="3" width="6.1640625" bestFit="1" customWidth="1"/>
    <col min="4" max="4" width="7.5" bestFit="1" customWidth="1"/>
    <col min="5" max="5" width="4.83203125" bestFit="1" customWidth="1"/>
    <col min="6" max="6" width="11.33203125" bestFit="1" customWidth="1"/>
    <col min="7" max="7" width="7.33203125" bestFit="1" customWidth="1"/>
    <col min="8" max="8" width="11.83203125" bestFit="1" customWidth="1"/>
    <col min="9" max="9" width="12.33203125" bestFit="1" customWidth="1"/>
    <col min="10" max="10" width="35.5" bestFit="1" customWidth="1"/>
    <col min="11" max="11" width="9.1640625" bestFit="1" customWidth="1"/>
    <col min="12" max="12" width="10" bestFit="1" customWidth="1"/>
  </cols>
  <sheetData>
    <row r="2" spans="1:12" x14ac:dyDescent="0.2">
      <c r="A2" s="7" t="s">
        <v>38</v>
      </c>
      <c r="B2" s="7" t="s">
        <v>39</v>
      </c>
      <c r="C2" s="7" t="s">
        <v>40</v>
      </c>
      <c r="D2" s="7" t="s">
        <v>41</v>
      </c>
      <c r="E2" s="7" t="s">
        <v>42</v>
      </c>
      <c r="F2" s="7" t="s">
        <v>43</v>
      </c>
      <c r="G2" s="7" t="s">
        <v>4</v>
      </c>
      <c r="H2" s="7" t="s">
        <v>44</v>
      </c>
      <c r="I2" s="7" t="s">
        <v>45</v>
      </c>
      <c r="J2" s="7" t="s">
        <v>46</v>
      </c>
      <c r="K2" s="7" t="s">
        <v>47</v>
      </c>
      <c r="L2" s="7" t="s">
        <v>40</v>
      </c>
    </row>
    <row r="3" spans="1:12" x14ac:dyDescent="0.2">
      <c r="A3" s="7" t="s">
        <v>48</v>
      </c>
      <c r="B3" s="7">
        <v>43171</v>
      </c>
      <c r="C3" s="7">
        <v>80009</v>
      </c>
      <c r="D3" s="7">
        <v>1012</v>
      </c>
      <c r="E3" s="7">
        <v>0</v>
      </c>
      <c r="F3" s="7">
        <v>0</v>
      </c>
      <c r="G3" s="7">
        <v>0</v>
      </c>
      <c r="H3" s="7">
        <f>IF(Output!K2&gt;0,Output!K2,0)</f>
        <v>0</v>
      </c>
      <c r="I3" s="7">
        <f>IF(Output!K2&lt;0,-Output!K2,0)</f>
        <v>0</v>
      </c>
      <c r="J3" s="7" t="s">
        <v>49</v>
      </c>
      <c r="K3" s="7">
        <v>-1278.6600000000001</v>
      </c>
      <c r="L3" s="7" t="s">
        <v>50</v>
      </c>
    </row>
    <row r="4" spans="1:12" x14ac:dyDescent="0.2">
      <c r="A4" s="7" t="s">
        <v>48</v>
      </c>
      <c r="B4" s="7">
        <v>43171</v>
      </c>
      <c r="C4" s="7">
        <v>80007</v>
      </c>
      <c r="D4" s="7">
        <v>1012</v>
      </c>
      <c r="E4" s="7">
        <v>0</v>
      </c>
      <c r="F4" s="7">
        <v>0</v>
      </c>
      <c r="G4" s="7">
        <v>0</v>
      </c>
      <c r="H4" s="7">
        <f>IF(Output!K3&gt;0,Output!K3,0)</f>
        <v>0</v>
      </c>
      <c r="I4" s="7">
        <f>IF(Output!K3&lt;0,-Output!K3,0)</f>
        <v>0</v>
      </c>
      <c r="J4" s="7" t="s">
        <v>49</v>
      </c>
      <c r="K4" s="7">
        <v>-171.51</v>
      </c>
      <c r="L4" s="7" t="s">
        <v>51</v>
      </c>
    </row>
    <row r="5" spans="1:12" x14ac:dyDescent="0.2">
      <c r="A5" s="7" t="s">
        <v>48</v>
      </c>
      <c r="B5" s="7">
        <v>43171</v>
      </c>
      <c r="C5" s="7">
        <v>80019</v>
      </c>
      <c r="D5" s="7">
        <v>1012</v>
      </c>
      <c r="E5" s="7">
        <v>0</v>
      </c>
      <c r="F5" s="7">
        <v>0</v>
      </c>
      <c r="G5" s="7">
        <v>0</v>
      </c>
      <c r="H5" s="7">
        <f>IF(Output!K4&gt;0,Output!K4,0)</f>
        <v>0</v>
      </c>
      <c r="I5" s="7">
        <f>IF(Output!K4&lt;0,-Output!K4,0)</f>
        <v>0</v>
      </c>
      <c r="J5" s="7" t="s">
        <v>49</v>
      </c>
      <c r="K5" s="7">
        <v>-151.76</v>
      </c>
      <c r="L5" s="7" t="s">
        <v>52</v>
      </c>
    </row>
    <row r="6" spans="1:12" x14ac:dyDescent="0.2">
      <c r="A6" s="7" t="s">
        <v>48</v>
      </c>
      <c r="B6" s="7">
        <v>43171</v>
      </c>
      <c r="C6" s="7">
        <v>80008</v>
      </c>
      <c r="D6" s="7">
        <v>1012</v>
      </c>
      <c r="E6" s="7">
        <v>0</v>
      </c>
      <c r="F6" s="7">
        <v>0</v>
      </c>
      <c r="G6" s="7">
        <v>0</v>
      </c>
      <c r="H6" s="7">
        <f>IF(Output!K5&gt;0,Output!K5,0)</f>
        <v>0</v>
      </c>
      <c r="I6" s="7">
        <f>IF(Output!K5&lt;0,-Output!K5,0)</f>
        <v>0</v>
      </c>
      <c r="J6" s="7" t="s">
        <v>49</v>
      </c>
      <c r="K6" s="7">
        <v>-402.24</v>
      </c>
      <c r="L6" s="7" t="s">
        <v>53</v>
      </c>
    </row>
    <row r="7" spans="1:12" x14ac:dyDescent="0.2">
      <c r="A7" s="7" t="s">
        <v>48</v>
      </c>
      <c r="B7" s="7">
        <v>43171</v>
      </c>
      <c r="C7" s="7">
        <v>80009</v>
      </c>
      <c r="D7" s="7">
        <v>6200</v>
      </c>
      <c r="E7" s="7">
        <v>0</v>
      </c>
      <c r="F7" s="7">
        <v>0</v>
      </c>
      <c r="G7" s="7">
        <v>0</v>
      </c>
      <c r="H7" s="7">
        <f>IF(Output!K6&gt;0,Output!K6,0)</f>
        <v>0</v>
      </c>
      <c r="I7" s="7">
        <f>IF(Output!K6&lt;0,-Output!K6,0)</f>
        <v>0</v>
      </c>
      <c r="J7" s="7" t="s">
        <v>49</v>
      </c>
      <c r="K7" s="7">
        <f>-Output!K2</f>
        <v>0</v>
      </c>
      <c r="L7" s="7" t="s">
        <v>50</v>
      </c>
    </row>
    <row r="8" spans="1:12" x14ac:dyDescent="0.2">
      <c r="A8" s="8" t="s">
        <v>48</v>
      </c>
      <c r="B8" s="7">
        <v>43171</v>
      </c>
      <c r="C8" s="7">
        <v>80007</v>
      </c>
      <c r="D8" s="7">
        <v>6200</v>
      </c>
      <c r="E8" s="7">
        <v>0</v>
      </c>
      <c r="F8" s="7">
        <v>0</v>
      </c>
      <c r="G8" s="7">
        <v>0</v>
      </c>
      <c r="H8" s="7" t="str">
        <f t="shared" ref="H8:H15" si="0">IF(K2&gt;0,K2,0)</f>
        <v>+/-</v>
      </c>
      <c r="I8" s="7">
        <f t="shared" ref="I8:I15" si="1">IF(K2&lt;0,-K2,0)</f>
        <v>0</v>
      </c>
      <c r="J8" s="7" t="s">
        <v>49</v>
      </c>
      <c r="K8" s="9">
        <f>-Output!K3</f>
        <v>0</v>
      </c>
      <c r="L8" s="7" t="s">
        <v>51</v>
      </c>
    </row>
    <row r="9" spans="1:12" x14ac:dyDescent="0.2">
      <c r="A9" s="7" t="s">
        <v>48</v>
      </c>
      <c r="B9" s="7">
        <v>43171</v>
      </c>
      <c r="C9" s="7">
        <v>80019</v>
      </c>
      <c r="D9" s="7">
        <v>6200</v>
      </c>
      <c r="E9" s="7">
        <v>0</v>
      </c>
      <c r="F9" s="7">
        <v>0</v>
      </c>
      <c r="G9" s="7">
        <v>0</v>
      </c>
      <c r="H9" s="7">
        <f t="shared" si="0"/>
        <v>0</v>
      </c>
      <c r="I9" s="7">
        <f t="shared" si="1"/>
        <v>1278.6600000000001</v>
      </c>
      <c r="J9" s="7" t="s">
        <v>49</v>
      </c>
      <c r="K9" s="9">
        <f>-Output!K4</f>
        <v>0</v>
      </c>
      <c r="L9" s="7" t="s">
        <v>52</v>
      </c>
    </row>
    <row r="10" spans="1:12" x14ac:dyDescent="0.2">
      <c r="A10" s="7" t="s">
        <v>48</v>
      </c>
      <c r="B10" s="7">
        <v>43171</v>
      </c>
      <c r="C10" s="7">
        <v>80008</v>
      </c>
      <c r="D10" s="7">
        <v>6200</v>
      </c>
      <c r="E10" s="7">
        <v>0</v>
      </c>
      <c r="F10" s="7">
        <v>0</v>
      </c>
      <c r="G10" s="7">
        <v>0</v>
      </c>
      <c r="H10" s="7">
        <f t="shared" si="0"/>
        <v>0</v>
      </c>
      <c r="I10" s="7">
        <f t="shared" si="1"/>
        <v>171.51</v>
      </c>
      <c r="J10" s="7" t="s">
        <v>49</v>
      </c>
      <c r="K10" s="9">
        <f>-Output!K5</f>
        <v>0</v>
      </c>
      <c r="L10" s="7" t="s">
        <v>53</v>
      </c>
    </row>
    <row r="11" spans="1:12" x14ac:dyDescent="0.2">
      <c r="A11" s="7" t="str">
        <f>CONCATENATE(L5," March 2018")</f>
        <v>CMBRCSLT March 2018</v>
      </c>
      <c r="B11" s="7">
        <v>43160</v>
      </c>
      <c r="C11" s="7">
        <v>80019</v>
      </c>
      <c r="D11" s="7">
        <v>1012</v>
      </c>
      <c r="E11" s="7">
        <v>0</v>
      </c>
      <c r="F11" s="7">
        <v>0</v>
      </c>
      <c r="G11" s="7">
        <v>0</v>
      </c>
      <c r="H11" s="7">
        <f t="shared" si="0"/>
        <v>0</v>
      </c>
      <c r="I11" s="7">
        <f t="shared" si="1"/>
        <v>151.76</v>
      </c>
      <c r="J11" s="7" t="s">
        <v>54</v>
      </c>
      <c r="K11" s="7">
        <v>-61000</v>
      </c>
      <c r="L11" s="7" t="s">
        <v>52</v>
      </c>
    </row>
    <row r="12" spans="1:12" x14ac:dyDescent="0.2">
      <c r="A12" s="7" t="str">
        <f>CONCATENATE(L6," March 2018")</f>
        <v>CMBRLDHD March 2018</v>
      </c>
      <c r="B12" s="7">
        <v>43160</v>
      </c>
      <c r="C12" s="7">
        <v>80019</v>
      </c>
      <c r="D12" s="7">
        <v>3200</v>
      </c>
      <c r="E12" s="7">
        <v>1</v>
      </c>
      <c r="F12" s="7">
        <v>80008</v>
      </c>
      <c r="G12" s="7">
        <v>0</v>
      </c>
      <c r="H12" s="7">
        <f t="shared" si="0"/>
        <v>0</v>
      </c>
      <c r="I12" s="7">
        <f t="shared" si="1"/>
        <v>402.24</v>
      </c>
      <c r="J12" s="7" t="s">
        <v>54</v>
      </c>
      <c r="K12" s="7">
        <v>61000</v>
      </c>
      <c r="L12" s="7" t="s">
        <v>52</v>
      </c>
    </row>
    <row r="13" spans="1:12" x14ac:dyDescent="0.2">
      <c r="A13" s="7" t="str">
        <f>CONCATENATE(L7," March 2018")</f>
        <v>CLRDINV5 March 2018</v>
      </c>
      <c r="B13" s="7">
        <v>43172</v>
      </c>
      <c r="C13" s="7">
        <v>80019</v>
      </c>
      <c r="D13" s="7">
        <v>1012</v>
      </c>
      <c r="E13" s="7">
        <v>0</v>
      </c>
      <c r="F13" s="7">
        <v>0</v>
      </c>
      <c r="G13" s="7">
        <v>0</v>
      </c>
      <c r="H13" s="7">
        <f t="shared" si="0"/>
        <v>0</v>
      </c>
      <c r="I13" s="7">
        <f t="shared" si="1"/>
        <v>0</v>
      </c>
      <c r="J13" s="7" t="s">
        <v>54</v>
      </c>
      <c r="K13" s="7">
        <v>-97000</v>
      </c>
      <c r="L13" s="7" t="s">
        <v>52</v>
      </c>
    </row>
    <row r="14" spans="1:12" x14ac:dyDescent="0.2">
      <c r="A14" s="7" t="str">
        <f>CONCATENATE(L8," March 2018")</f>
        <v>CLRDMH_5 March 2018</v>
      </c>
      <c r="B14" s="7">
        <v>43172</v>
      </c>
      <c r="C14" s="7">
        <v>80019</v>
      </c>
      <c r="D14" s="7">
        <v>3200</v>
      </c>
      <c r="E14" s="7">
        <v>1</v>
      </c>
      <c r="F14" s="7">
        <v>80008</v>
      </c>
      <c r="G14" s="7">
        <v>0</v>
      </c>
      <c r="H14" s="7">
        <f t="shared" si="0"/>
        <v>0</v>
      </c>
      <c r="I14" s="7">
        <f t="shared" si="1"/>
        <v>0</v>
      </c>
      <c r="J14" s="7" t="s">
        <v>54</v>
      </c>
      <c r="K14" s="7">
        <v>97000</v>
      </c>
      <c r="L14" s="7" t="s">
        <v>52</v>
      </c>
    </row>
    <row r="15" spans="1:12" x14ac:dyDescent="0.2">
      <c r="A15" s="7" t="str">
        <f>CONCATENATE(L9," March 2018")</f>
        <v>CMBRCSLT March 2018</v>
      </c>
      <c r="B15" s="7">
        <v>43174</v>
      </c>
      <c r="C15" s="7">
        <v>80019</v>
      </c>
      <c r="D15" s="7">
        <v>1012</v>
      </c>
      <c r="E15" s="7">
        <v>0</v>
      </c>
      <c r="F15" s="7">
        <v>0</v>
      </c>
      <c r="G15" s="7">
        <v>0</v>
      </c>
      <c r="H15" s="7">
        <f t="shared" si="0"/>
        <v>0</v>
      </c>
      <c r="I15" s="7">
        <f t="shared" si="1"/>
        <v>0</v>
      </c>
      <c r="J15" s="7" t="s">
        <v>55</v>
      </c>
      <c r="K15" s="7">
        <v>41666.67</v>
      </c>
      <c r="L15" s="7" t="s">
        <v>52</v>
      </c>
    </row>
    <row r="18" spans="1:12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Lookup</vt:lpstr>
      <vt:lpstr>Output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Gregory Pressling</dc:creator>
  <cp:lastModifiedBy>Microsoft Office User</cp:lastModifiedBy>
  <dcterms:created xsi:type="dcterms:W3CDTF">2018-04-25T23:28:07Z</dcterms:created>
  <dcterms:modified xsi:type="dcterms:W3CDTF">2018-05-13T17:53:11Z</dcterms:modified>
</cp:coreProperties>
</file>